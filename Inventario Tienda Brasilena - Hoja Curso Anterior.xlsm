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fficeresolve.sharepoint.com/sites/ContedosAlura/Documentos Compartilhados/10 - Alura Latam/Alura Latam Cursos Excel/Temporada 2 - Formación VBA/Curso 7/Github/"/>
    </mc:Choice>
  </mc:AlternateContent>
  <xr:revisionPtr revIDLastSave="0" documentId="13_ncr:1_{299EBCD4-C335-45CD-A1FD-FB0CB223F4A7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16" l="1"/>
  <c r="F67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E10" i="16"/>
  <c r="I10" i="16" s="1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65" i="16" a="1"/>
  <c r="H32" i="16" a="1"/>
  <c r="H37" i="16" a="1"/>
  <c r="G49" i="16" a="1"/>
  <c r="H15" i="16" a="1"/>
  <c r="H53" i="16" a="1"/>
  <c r="G34" i="16" a="1"/>
  <c r="H62" i="16" a="1"/>
  <c r="H7" i="16" a="1"/>
  <c r="G47" i="16" a="1"/>
  <c r="H17" i="16" a="1"/>
  <c r="G4" i="16" a="1"/>
  <c r="G20" i="16" a="1"/>
  <c r="H60" i="16" a="1"/>
  <c r="G31" i="16" a="1"/>
  <c r="G41" i="16" a="1"/>
  <c r="G62" i="16" a="1"/>
  <c r="H19" i="16" a="1"/>
  <c r="H33" i="16" a="1"/>
  <c r="G23" i="16" a="1"/>
  <c r="B2" i="20" a="1"/>
  <c r="H50" i="16" a="1"/>
  <c r="G13" i="16" a="1"/>
  <c r="H47" i="16" a="1"/>
  <c r="H55" i="16" a="1"/>
  <c r="G37" i="16" a="1"/>
  <c r="G54" i="16" a="1"/>
  <c r="G16" i="16" a="1"/>
  <c r="H40" i="16" a="1"/>
  <c r="H66" i="16" a="1"/>
  <c r="G30" i="16" a="1"/>
  <c r="G14" i="16" a="1"/>
  <c r="G63" i="16" a="1"/>
  <c r="H35" i="16" a="1"/>
  <c r="G19" i="16" a="1"/>
  <c r="H22" i="16" a="1"/>
  <c r="H4" i="16" a="1"/>
  <c r="G44" i="16" a="1"/>
  <c r="H36" i="16" a="1"/>
  <c r="G59" i="16" a="1"/>
  <c r="G18" i="16" a="1"/>
  <c r="G29" i="16" a="1"/>
  <c r="H30" i="16" a="1"/>
  <c r="B6" i="20" a="1"/>
  <c r="G10" i="16" a="1"/>
  <c r="H9" i="16" a="1"/>
  <c r="H14" i="16" a="1"/>
  <c r="G32" i="16" a="1"/>
  <c r="G57" i="16" a="1"/>
  <c r="H61" i="16" a="1"/>
  <c r="G66" i="16" a="1"/>
  <c r="H51" i="16" a="1"/>
  <c r="H20" i="16" a="1"/>
  <c r="H21" i="16" a="1"/>
  <c r="G38" i="16" a="1"/>
  <c r="G5" i="16" a="1"/>
  <c r="H44" i="16" a="1"/>
  <c r="H48" i="16" a="1"/>
  <c r="G21" i="16" a="1"/>
  <c r="G25" i="16" a="1"/>
  <c r="G45" i="16" a="1"/>
  <c r="G17" i="16" a="1"/>
  <c r="H64" i="16" a="1"/>
  <c r="H49" i="16" a="1"/>
  <c r="B3" i="20" a="1"/>
  <c r="H26" i="16" a="1"/>
  <c r="G39" i="16" a="1"/>
  <c r="H52" i="16" a="1"/>
  <c r="G6" i="16" a="1"/>
  <c r="G26" i="16" a="1"/>
  <c r="G58" i="16" a="1"/>
  <c r="G48" i="16" a="1"/>
  <c r="H46" i="16" a="1"/>
  <c r="H57" i="16" a="1"/>
  <c r="G55" i="16" a="1"/>
  <c r="H24" i="16" a="1"/>
  <c r="H43" i="16" a="1"/>
  <c r="G52" i="16" a="1"/>
  <c r="G9" i="16" a="1"/>
  <c r="H45" i="16" a="1"/>
  <c r="H38" i="16" a="1"/>
  <c r="H31" i="16" a="1"/>
  <c r="G27" i="16" a="1"/>
  <c r="G36" i="16" a="1"/>
  <c r="H12" i="16" a="1"/>
  <c r="H58" i="16" a="1"/>
  <c r="H34" i="16" a="1"/>
  <c r="G15" i="16" a="1"/>
  <c r="G28" i="16" a="1"/>
  <c r="H6" i="16" a="1"/>
  <c r="G35" i="16" a="1"/>
  <c r="H16" i="16" a="1"/>
  <c r="G8" i="16" a="1"/>
  <c r="G53" i="16" a="1"/>
  <c r="H8" i="16" a="1"/>
  <c r="G46" i="16" a="1"/>
  <c r="G40" i="16" a="1"/>
  <c r="H29" i="16" a="1"/>
  <c r="H54" i="16" a="1"/>
  <c r="H28" i="16" a="1"/>
  <c r="H5" i="16" a="1"/>
  <c r="G22" i="16" a="1"/>
  <c r="H56" i="16" a="1"/>
  <c r="G33" i="16" a="1"/>
  <c r="G60" i="16" a="1"/>
  <c r="G7" i="16" a="1"/>
  <c r="G42" i="16" a="1"/>
  <c r="H27" i="16" a="1"/>
  <c r="G24" i="16" a="1"/>
  <c r="H18" i="16" a="1"/>
  <c r="H13" i="16" a="1"/>
  <c r="G43" i="16" a="1"/>
  <c r="H11" i="16" a="1"/>
  <c r="G11" i="16" a="1"/>
  <c r="B4" i="20" a="1"/>
  <c r="G56" i="16" a="1"/>
  <c r="G65" i="16" a="1"/>
  <c r="H10" i="16" a="1"/>
  <c r="H42" i="16" a="1"/>
  <c r="H63" i="16" a="1"/>
  <c r="G50" i="16" a="1"/>
  <c r="H59" i="16" a="1"/>
  <c r="G12" i="16" a="1"/>
  <c r="G61" i="16" a="1"/>
  <c r="H25" i="16" a="1"/>
  <c r="H39" i="16" a="1"/>
  <c r="G51" i="16" a="1"/>
  <c r="H23" i="16" a="1"/>
  <c r="H41" i="16" a="1"/>
  <c r="G64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5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  <c r="I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<sst xmlns="http://schemas.openxmlformats.org/spreadsheetml/2006/main" count="81" uniqueCount="16">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</sst>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  <xf numFmtId="0" fontId="0" fillId="0" borderId="11" xfId="0" applyBorder="1"/>
    <xf numFmtId="164" fontId="0" fillId="0" borderId="12" xfId="0" applyNumberFormat="1" applyBorder="1"/>
    <xf numFmtId="0" fontId="2" fillId="4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67"/>
  <sheetViews>
    <sheetView showGridLines="0" tabSelected="1" zoomScale="140" zoomScaleNormal="140" workbookViewId="0">
      <selection activeCell="G10" sqref="G10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8" t="s">
        <v>4</v>
      </c>
      <c r="B1" s="38"/>
      <c r="C1" s="38"/>
      <c r="D1" s="38"/>
      <c r="E1" s="38"/>
      <c r="F1" s="38"/>
      <c r="G1" s="38"/>
      <c r="H1" s="38"/>
      <c r="I1" s="38"/>
      <c r="J1" s="38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14</v>
      </c>
      <c r="H3" s="15" t="s">
        <v>12</v>
      </c>
      <c r="I3" s="15" t="s">
        <v>13</v>
      </c>
      <c r="K3" s="4" t="s">
        <v>7</v>
      </c>
    </row>
    <row r="4" spans="1:11" ht="16.5" thickTop="1" thickBot="1" x14ac:dyDescent="0.3">
      <c r="B4" s="16" t="s">
        <v>1</v>
      </c>
      <c r="C4" s="17">
        <v>36</v>
      </c>
      <c r="D4" s="18">
        <v>21.66</v>
      </c>
      <c r="E4" s="18">
        <f t="shared" ref="E4:E35" si="0">D4*$K$4</f>
        <v>2.1659999999999999</v>
      </c>
      <c r="F4" s="17">
        <v>3</v>
      </c>
      <c r="G4" s="17" t="str" cm="1">
        <f t="array" ref="G4">Nuestra_Si(F4&lt;10,"Baja","Normal")</f>
        <v>Baja</v>
      </c>
      <c r="H4" s="29" cm="1">
        <f t="array" ref="H4">Nuestro_Producto(D4,F4)</f>
        <v>64.98</v>
      </c>
      <c r="I4" s="18">
        <f t="shared" ref="I4:I35" si="1">(D4-E4)*F4</f>
        <v>58.481999999999999</v>
      </c>
      <c r="K4" s="5">
        <v>0.1</v>
      </c>
    </row>
    <row r="5" spans="1:11" x14ac:dyDescent="0.25">
      <c r="B5" s="19" t="s">
        <v>2</v>
      </c>
      <c r="C5" s="20">
        <v>36</v>
      </c>
      <c r="D5" s="21">
        <v>22.8</v>
      </c>
      <c r="E5" s="21">
        <f t="shared" si="0"/>
        <v>2.2800000000000002</v>
      </c>
      <c r="F5" s="20">
        <v>26</v>
      </c>
      <c r="G5" s="20" t="str" cm="1">
        <f t="array" ref="G5">Nuestra_Si(F5&lt;10,"Baja","Normal")</f>
        <v>Normal</v>
      </c>
      <c r="H5" s="31" cm="1">
        <f t="array" ref="H5">Nuestro_Producto(D5,F5)</f>
        <v>592.80000000000007</v>
      </c>
      <c r="I5" s="21">
        <f t="shared" si="1"/>
        <v>533.52</v>
      </c>
    </row>
    <row r="6" spans="1:11" x14ac:dyDescent="0.25">
      <c r="B6" s="22" t="s">
        <v>3</v>
      </c>
      <c r="C6" s="23">
        <v>36</v>
      </c>
      <c r="D6" s="24">
        <v>20.52</v>
      </c>
      <c r="E6" s="24">
        <f t="shared" si="0"/>
        <v>2.052</v>
      </c>
      <c r="F6" s="23">
        <v>7</v>
      </c>
      <c r="G6" s="23" t="str" cm="1">
        <f t="array" ref="G6">Nuestra_Si(F6&lt;10,"Baja","Normal")</f>
        <v>Baja</v>
      </c>
      <c r="H6" s="30" cm="1">
        <f t="array" ref="H6">Nuestro_Producto(D6,F6)</f>
        <v>143.63999999999999</v>
      </c>
      <c r="I6" s="24">
        <f t="shared" si="1"/>
        <v>129.27600000000001</v>
      </c>
    </row>
    <row r="7" spans="1:11" x14ac:dyDescent="0.25">
      <c r="B7" s="19" t="s">
        <v>1</v>
      </c>
      <c r="C7" s="20">
        <v>35</v>
      </c>
      <c r="D7" s="21">
        <v>21.66</v>
      </c>
      <c r="E7" s="21">
        <f t="shared" si="0"/>
        <v>2.1659999999999999</v>
      </c>
      <c r="F7" s="20">
        <v>12</v>
      </c>
      <c r="G7" s="20" t="str" cm="1">
        <f t="array" ref="G7">Nuestra_Si(F7&lt;10,"Baja","Normal")</f>
        <v>Normal</v>
      </c>
      <c r="H7" s="31" cm="1">
        <f t="array" ref="H7">Nuestro_Producto(D7,F7)</f>
        <v>259.92</v>
      </c>
      <c r="I7" s="21">
        <f t="shared" si="1"/>
        <v>233.928</v>
      </c>
    </row>
    <row r="8" spans="1:11" x14ac:dyDescent="0.25">
      <c r="B8" s="22" t="s">
        <v>2</v>
      </c>
      <c r="C8" s="23">
        <v>35</v>
      </c>
      <c r="D8" s="24">
        <v>22.8</v>
      </c>
      <c r="E8" s="24">
        <f t="shared" si="0"/>
        <v>2.2800000000000002</v>
      </c>
      <c r="F8" s="23">
        <v>31</v>
      </c>
      <c r="G8" s="23" t="str" cm="1">
        <f t="array" ref="G8">Nuestra_Si(F8&lt;10,"Baja","Normal")</f>
        <v>Normal</v>
      </c>
      <c r="H8" s="30" cm="1">
        <f t="array" ref="H8">Nuestro_Producto(D8,F8)</f>
        <v>706.80000000000007</v>
      </c>
      <c r="I8" s="24">
        <f t="shared" si="1"/>
        <v>636.12</v>
      </c>
    </row>
    <row r="9" spans="1:11" x14ac:dyDescent="0.25">
      <c r="B9" s="19" t="s">
        <v>3</v>
      </c>
      <c r="C9" s="20">
        <v>35</v>
      </c>
      <c r="D9" s="21">
        <v>20.52</v>
      </c>
      <c r="E9" s="21">
        <f t="shared" si="0"/>
        <v>2.052</v>
      </c>
      <c r="F9" s="20">
        <v>9</v>
      </c>
      <c r="G9" s="20" t="str" cm="1">
        <f t="array" ref="G9">Nuestra_Si(F9&lt;10,"Baja","Normal")</f>
        <v>Baja</v>
      </c>
      <c r="H9" s="31" cm="1">
        <f t="array" ref="H9">Nuestro_Producto(D9,F9)</f>
        <v>184.68</v>
      </c>
      <c r="I9" s="21">
        <f t="shared" si="1"/>
        <v>166.21199999999999</v>
      </c>
    </row>
    <row r="10" spans="1:11" x14ac:dyDescent="0.25">
      <c r="B10" s="22" t="s">
        <v>1</v>
      </c>
      <c r="C10" s="23">
        <v>34</v>
      </c>
      <c r="D10" s="24">
        <v>21.66</v>
      </c>
      <c r="E10" s="24">
        <f t="shared" si="0"/>
        <v>2.1659999999999999</v>
      </c>
      <c r="F10" s="23">
        <v>21</v>
      </c>
      <c r="G10" s="23" t="str" cm="1">
        <f t="array" ref="G10">Nuestra_Si(F10&lt;10,"Baja","Normal")</f>
        <v>Normal</v>
      </c>
      <c r="H10" s="30" cm="1">
        <f t="array" ref="H10">Nuestro_Producto(D10,F10)</f>
        <v>454.86</v>
      </c>
      <c r="I10" s="24">
        <f t="shared" si="1"/>
        <v>409.37400000000002</v>
      </c>
    </row>
    <row r="11" spans="1:11" x14ac:dyDescent="0.25">
      <c r="B11" s="19" t="s">
        <v>2</v>
      </c>
      <c r="C11" s="20">
        <v>34</v>
      </c>
      <c r="D11" s="21">
        <v>22.8</v>
      </c>
      <c r="E11" s="21">
        <f t="shared" si="0"/>
        <v>2.2800000000000002</v>
      </c>
      <c r="F11" s="20">
        <v>19</v>
      </c>
      <c r="G11" s="20" t="str" cm="1">
        <f t="array" ref="G11">Nuestra_Si(F11&lt;10,"Baja","Normal")</f>
        <v>Normal</v>
      </c>
      <c r="H11" s="31" cm="1">
        <f t="array" ref="H11">Nuestro_Producto(D11,F11)</f>
        <v>433.2</v>
      </c>
      <c r="I11" s="21">
        <f t="shared" si="1"/>
        <v>389.88</v>
      </c>
    </row>
    <row r="12" spans="1:11" x14ac:dyDescent="0.25">
      <c r="B12" s="22" t="s">
        <v>3</v>
      </c>
      <c r="C12" s="23">
        <v>34</v>
      </c>
      <c r="D12" s="24">
        <v>20.52</v>
      </c>
      <c r="E12" s="24">
        <f t="shared" si="0"/>
        <v>2.052</v>
      </c>
      <c r="F12" s="23">
        <v>11</v>
      </c>
      <c r="G12" s="23" t="str" cm="1">
        <f t="array" ref="G12">Nuestra_Si(F12&lt;10,"Baja","Normal")</f>
        <v>Normal</v>
      </c>
      <c r="H12" s="30" cm="1">
        <f t="array" ref="H12">Nuestro_Producto(D12,F12)</f>
        <v>225.72</v>
      </c>
      <c r="I12" s="24">
        <f t="shared" si="1"/>
        <v>203.148</v>
      </c>
    </row>
    <row r="13" spans="1:11" x14ac:dyDescent="0.25">
      <c r="B13" s="19" t="s">
        <v>1</v>
      </c>
      <c r="C13" s="20">
        <v>33</v>
      </c>
      <c r="D13" s="21">
        <v>21.66</v>
      </c>
      <c r="E13" s="21">
        <f t="shared" si="0"/>
        <v>2.1659999999999999</v>
      </c>
      <c r="F13" s="20">
        <v>23</v>
      </c>
      <c r="G13" s="20" t="str" cm="1">
        <f t="array" ref="G13">Nuestra_Si(F13&lt;10,"Baja","Normal")</f>
        <v>Normal</v>
      </c>
      <c r="H13" s="31" cm="1">
        <f t="array" ref="H13">Nuestro_Producto(D13,F13)</f>
        <v>498.18</v>
      </c>
      <c r="I13" s="21">
        <f t="shared" si="1"/>
        <v>448.36199999999997</v>
      </c>
    </row>
    <row r="14" spans="1:11" x14ac:dyDescent="0.25">
      <c r="B14" s="22" t="s">
        <v>2</v>
      </c>
      <c r="C14" s="23">
        <v>33</v>
      </c>
      <c r="D14" s="24">
        <v>22.8</v>
      </c>
      <c r="E14" s="24">
        <f t="shared" si="0"/>
        <v>2.2800000000000002</v>
      </c>
      <c r="F14" s="23">
        <v>11</v>
      </c>
      <c r="G14" s="23" t="str" cm="1">
        <f t="array" ref="G14">Nuestra_Si(F14&lt;10,"Baja","Normal")</f>
        <v>Normal</v>
      </c>
      <c r="H14" s="30" cm="1">
        <f t="array" ref="H14">Nuestro_Producto(D14,F14)</f>
        <v>250.8</v>
      </c>
      <c r="I14" s="24">
        <f t="shared" si="1"/>
        <v>225.72</v>
      </c>
    </row>
    <row r="15" spans="1:11" x14ac:dyDescent="0.25">
      <c r="B15" s="19" t="s">
        <v>3</v>
      </c>
      <c r="C15" s="20">
        <v>33</v>
      </c>
      <c r="D15" s="21">
        <v>20.52</v>
      </c>
      <c r="E15" s="21">
        <f t="shared" si="0"/>
        <v>2.052</v>
      </c>
      <c r="F15" s="20">
        <v>12</v>
      </c>
      <c r="G15" s="20" t="str" cm="1">
        <f t="array" ref="G15">Nuestra_Si(F15&lt;10,"Baja","Normal")</f>
        <v>Normal</v>
      </c>
      <c r="H15" s="31" cm="1">
        <f t="array" ref="H15">Nuestro_Producto(D15,F15)</f>
        <v>246.24</v>
      </c>
      <c r="I15" s="21">
        <f t="shared" si="1"/>
        <v>221.61599999999999</v>
      </c>
    </row>
    <row r="16" spans="1:11" x14ac:dyDescent="0.25">
      <c r="B16" s="22" t="s">
        <v>1</v>
      </c>
      <c r="C16" s="23">
        <v>32</v>
      </c>
      <c r="D16" s="24">
        <v>21.66</v>
      </c>
      <c r="E16" s="24">
        <f t="shared" si="0"/>
        <v>2.1659999999999999</v>
      </c>
      <c r="F16" s="23">
        <v>31</v>
      </c>
      <c r="G16" s="23" t="str" cm="1">
        <f t="array" ref="G16">Nuestra_Si(F16&lt;10,"Baja","Normal")</f>
        <v>Normal</v>
      </c>
      <c r="H16" s="30" cm="1">
        <f t="array" ref="H16">Nuestro_Producto(D16,F16)</f>
        <v>671.46</v>
      </c>
      <c r="I16" s="24">
        <f t="shared" si="1"/>
        <v>604.31399999999996</v>
      </c>
    </row>
    <row r="17" spans="2:11" x14ac:dyDescent="0.25">
      <c r="B17" s="19" t="s">
        <v>2</v>
      </c>
      <c r="C17" s="20">
        <v>32</v>
      </c>
      <c r="D17" s="21">
        <v>22.8</v>
      </c>
      <c r="E17" s="21">
        <f t="shared" si="0"/>
        <v>2.2800000000000002</v>
      </c>
      <c r="F17" s="20">
        <v>12</v>
      </c>
      <c r="G17" s="20" t="str" cm="1">
        <f t="array" ref="G17">Nuestra_Si(F17&lt;10,"Baja","Normal")</f>
        <v>Normal</v>
      </c>
      <c r="H17" s="31" cm="1">
        <f t="array" ref="H17">Nuestro_Producto(D17,F17)</f>
        <v>273.60000000000002</v>
      </c>
      <c r="I17" s="21">
        <f t="shared" si="1"/>
        <v>246.24</v>
      </c>
    </row>
    <row r="18" spans="2:11" x14ac:dyDescent="0.25">
      <c r="B18" s="22" t="s">
        <v>3</v>
      </c>
      <c r="C18" s="23">
        <v>32</v>
      </c>
      <c r="D18" s="24">
        <v>20.52</v>
      </c>
      <c r="E18" s="24">
        <f t="shared" si="0"/>
        <v>2.052</v>
      </c>
      <c r="F18" s="23">
        <v>0</v>
      </c>
      <c r="G18" s="23" t="str" cm="1">
        <f t="array" ref="G18">Nuestra_Si(F18&lt;10,"Baja","Normal")</f>
        <v>Baja</v>
      </c>
      <c r="H18" s="30" cm="1">
        <f t="array" ref="H18">Nuestro_Producto(D18,F18)</f>
        <v>0</v>
      </c>
      <c r="I18" s="24">
        <f t="shared" si="1"/>
        <v>0</v>
      </c>
    </row>
    <row r="19" spans="2:11" x14ac:dyDescent="0.25">
      <c r="B19" s="19" t="s">
        <v>1</v>
      </c>
      <c r="C19" s="20">
        <v>31</v>
      </c>
      <c r="D19" s="21">
        <v>21.66</v>
      </c>
      <c r="E19" s="21">
        <f t="shared" si="0"/>
        <v>2.1659999999999999</v>
      </c>
      <c r="F19" s="20">
        <v>5</v>
      </c>
      <c r="G19" s="20" t="str" cm="1">
        <f t="array" ref="G19">Nuestra_Si(F19&lt;10,"Baja","Normal")</f>
        <v>Baja</v>
      </c>
      <c r="H19" s="31" cm="1">
        <f t="array" ref="H19">Nuestro_Producto(D19,F19)</f>
        <v>108.3</v>
      </c>
      <c r="I19" s="21">
        <f t="shared" si="1"/>
        <v>97.47</v>
      </c>
    </row>
    <row r="20" spans="2:11" x14ac:dyDescent="0.25">
      <c r="B20" s="22" t="s">
        <v>2</v>
      </c>
      <c r="C20" s="23">
        <v>31</v>
      </c>
      <c r="D20" s="24">
        <v>22.8</v>
      </c>
      <c r="E20" s="24">
        <f t="shared" si="0"/>
        <v>2.2800000000000002</v>
      </c>
      <c r="F20" s="23">
        <v>24</v>
      </c>
      <c r="G20" s="23" t="str" cm="1">
        <f t="array" ref="G20">Nuestra_Si(F20&lt;10,"Baja","Normal")</f>
        <v>Normal</v>
      </c>
      <c r="H20" s="30" cm="1">
        <f t="array" ref="H20">Nuestro_Producto(D20,F20)</f>
        <v>547.20000000000005</v>
      </c>
      <c r="I20" s="24">
        <f t="shared" si="1"/>
        <v>492.48</v>
      </c>
    </row>
    <row r="21" spans="2:11" x14ac:dyDescent="0.25">
      <c r="B21" s="19" t="s">
        <v>3</v>
      </c>
      <c r="C21" s="20">
        <v>31</v>
      </c>
      <c r="D21" s="21">
        <v>20.52</v>
      </c>
      <c r="E21" s="21">
        <f t="shared" si="0"/>
        <v>2.052</v>
      </c>
      <c r="F21" s="20">
        <v>32</v>
      </c>
      <c r="G21" s="20" t="str" cm="1">
        <f t="array" ref="G21">Nuestra_Si(F21&lt;10,"Baja","Normal")</f>
        <v>Normal</v>
      </c>
      <c r="H21" s="31" cm="1">
        <f t="array" ref="H21">Nuestro_Producto(D21,F21)</f>
        <v>656.64</v>
      </c>
      <c r="I21" s="21">
        <f t="shared" si="1"/>
        <v>590.976</v>
      </c>
    </row>
    <row r="22" spans="2:11" x14ac:dyDescent="0.25">
      <c r="B22" s="22" t="s">
        <v>1</v>
      </c>
      <c r="C22" s="23">
        <v>30</v>
      </c>
      <c r="D22" s="24">
        <v>19.475000000000001</v>
      </c>
      <c r="E22" s="24">
        <f t="shared" si="0"/>
        <v>1.9475000000000002</v>
      </c>
      <c r="F22" s="23">
        <v>2</v>
      </c>
      <c r="G22" s="23" t="str" cm="1">
        <f t="array" ref="G22">Nuestra_Si(F22&lt;10,"Baja","Normal")</f>
        <v>Baja</v>
      </c>
      <c r="H22" s="30" cm="1">
        <f t="array" ref="H22">Nuestro_Producto(D22,F22)</f>
        <v>38.950000000000003</v>
      </c>
      <c r="I22" s="24">
        <f t="shared" si="1"/>
        <v>35.055</v>
      </c>
    </row>
    <row r="23" spans="2:11" x14ac:dyDescent="0.25">
      <c r="B23" s="19" t="s">
        <v>2</v>
      </c>
      <c r="C23" s="20">
        <v>30</v>
      </c>
      <c r="D23" s="21">
        <v>20.5</v>
      </c>
      <c r="E23" s="21">
        <f t="shared" si="0"/>
        <v>2.0500000000000003</v>
      </c>
      <c r="F23" s="20">
        <v>0</v>
      </c>
      <c r="G23" s="20" t="str" cm="1">
        <f t="array" ref="G23">Nuestra_Si(F23&lt;10,"Baja","Normal")</f>
        <v>Baja</v>
      </c>
      <c r="H23" s="31" cm="1">
        <f t="array" ref="H23">Nuestro_Producto(D23,F23)</f>
        <v>0</v>
      </c>
      <c r="I23" s="21">
        <f t="shared" si="1"/>
        <v>0</v>
      </c>
    </row>
    <row r="24" spans="2:11" x14ac:dyDescent="0.25">
      <c r="B24" s="22" t="s">
        <v>3</v>
      </c>
      <c r="C24" s="23">
        <v>30</v>
      </c>
      <c r="D24" s="24">
        <v>18.45</v>
      </c>
      <c r="E24" s="24">
        <f t="shared" si="0"/>
        <v>1.845</v>
      </c>
      <c r="F24" s="23">
        <v>28</v>
      </c>
      <c r="G24" s="23" t="str" cm="1">
        <f t="array" ref="G24">Nuestra_Si(F24&lt;10,"Baja","Normal")</f>
        <v>Normal</v>
      </c>
      <c r="H24" s="30" cm="1">
        <f t="array" ref="H24">Nuestro_Producto(D24,F24)</f>
        <v>516.6</v>
      </c>
      <c r="I24" s="24">
        <f t="shared" si="1"/>
        <v>464.94</v>
      </c>
    </row>
    <row r="25" spans="2:11" x14ac:dyDescent="0.25">
      <c r="B25" s="19" t="s">
        <v>1</v>
      </c>
      <c r="C25" s="20">
        <v>29</v>
      </c>
      <c r="D25" s="21">
        <v>19.475000000000001</v>
      </c>
      <c r="E25" s="21">
        <f t="shared" si="0"/>
        <v>1.9475000000000002</v>
      </c>
      <c r="F25" s="20">
        <v>32</v>
      </c>
      <c r="G25" s="20" t="str" cm="1">
        <f t="array" ref="G25">Nuestra_Si(F25&lt;10,"Baja","Normal")</f>
        <v>Normal</v>
      </c>
      <c r="H25" s="31" cm="1">
        <f t="array" ref="H25">Nuestro_Producto(D25,F25)</f>
        <v>623.20000000000005</v>
      </c>
      <c r="I25" s="21">
        <f t="shared" si="1"/>
        <v>560.88</v>
      </c>
      <c r="K25" s="3"/>
    </row>
    <row r="26" spans="2:11" x14ac:dyDescent="0.25">
      <c r="B26" s="22" t="s">
        <v>2</v>
      </c>
      <c r="C26" s="23">
        <v>29</v>
      </c>
      <c r="D26" s="24">
        <v>20.5</v>
      </c>
      <c r="E26" s="24">
        <f t="shared" si="0"/>
        <v>2.0500000000000003</v>
      </c>
      <c r="F26" s="23">
        <v>0</v>
      </c>
      <c r="G26" s="23" t="str" cm="1">
        <f t="array" ref="G26">Nuestra_Si(F26&lt;10,"Baja","Normal")</f>
        <v>Baja</v>
      </c>
      <c r="H26" s="30" cm="1">
        <f t="array" ref="H26">Nuestro_Producto(D26,F26)</f>
        <v>0</v>
      </c>
      <c r="I26" s="24">
        <f t="shared" si="1"/>
        <v>0</v>
      </c>
      <c r="K26" s="3"/>
    </row>
    <row r="27" spans="2:11" x14ac:dyDescent="0.25">
      <c r="B27" s="19" t="s">
        <v>3</v>
      </c>
      <c r="C27" s="20">
        <v>29</v>
      </c>
      <c r="D27" s="21">
        <v>18.45</v>
      </c>
      <c r="E27" s="21">
        <f t="shared" si="0"/>
        <v>1.845</v>
      </c>
      <c r="F27" s="20">
        <v>25</v>
      </c>
      <c r="G27" s="20" t="str" cm="1">
        <f t="array" ref="G27">Nuestra_Si(F27&lt;10,"Baja","Normal")</f>
        <v>Normal</v>
      </c>
      <c r="H27" s="31" cm="1">
        <f t="array" ref="H27">Nuestro_Producto(D27,F27)</f>
        <v>461.25</v>
      </c>
      <c r="I27" s="21">
        <f t="shared" si="1"/>
        <v>415.125</v>
      </c>
      <c r="K27" s="3"/>
    </row>
    <row r="28" spans="2:11" x14ac:dyDescent="0.25">
      <c r="B28" s="22" t="s">
        <v>1</v>
      </c>
      <c r="C28" s="23">
        <v>28</v>
      </c>
      <c r="D28" s="24">
        <v>19.475000000000001</v>
      </c>
      <c r="E28" s="24">
        <f t="shared" si="0"/>
        <v>1.9475000000000002</v>
      </c>
      <c r="F28" s="23">
        <v>23</v>
      </c>
      <c r="G28" s="23" t="str" cm="1">
        <f t="array" ref="G28">Nuestra_Si(F28&lt;10,"Baja","Normal")</f>
        <v>Normal</v>
      </c>
      <c r="H28" s="30" cm="1">
        <f t="array" ref="H28">Nuestro_Producto(D28,F28)</f>
        <v>447.92500000000001</v>
      </c>
      <c r="I28" s="24">
        <f t="shared" si="1"/>
        <v>403.13249999999999</v>
      </c>
      <c r="K28" s="3"/>
    </row>
    <row r="29" spans="2:11" x14ac:dyDescent="0.25">
      <c r="B29" s="19" t="s">
        <v>2</v>
      </c>
      <c r="C29" s="20">
        <v>28</v>
      </c>
      <c r="D29" s="21">
        <v>20.5</v>
      </c>
      <c r="E29" s="21">
        <f t="shared" si="0"/>
        <v>2.0500000000000003</v>
      </c>
      <c r="F29" s="20">
        <v>3</v>
      </c>
      <c r="G29" s="20" t="str" cm="1">
        <f t="array" ref="G29">Nuestra_Si(F29&lt;10,"Baja","Normal")</f>
        <v>Baja</v>
      </c>
      <c r="H29" s="31" cm="1">
        <f t="array" ref="H29">Nuestro_Producto(D29,F29)</f>
        <v>61.5</v>
      </c>
      <c r="I29" s="21">
        <f t="shared" si="1"/>
        <v>55.349999999999994</v>
      </c>
      <c r="K29" s="3"/>
    </row>
    <row r="30" spans="2:11" x14ac:dyDescent="0.25">
      <c r="B30" s="22" t="s">
        <v>3</v>
      </c>
      <c r="C30" s="23">
        <v>28</v>
      </c>
      <c r="D30" s="24">
        <v>18.45</v>
      </c>
      <c r="E30" s="24">
        <f t="shared" si="0"/>
        <v>1.845</v>
      </c>
      <c r="F30" s="23">
        <v>0</v>
      </c>
      <c r="G30" s="23" t="str" cm="1">
        <f t="array" ref="G30">Nuestra_Si(F30&lt;10,"Baja","Normal")</f>
        <v>Baja</v>
      </c>
      <c r="H30" s="30" cm="1">
        <f t="array" ref="H30">Nuestro_Producto(D30,F30)</f>
        <v>0</v>
      </c>
      <c r="I30" s="24">
        <f t="shared" si="1"/>
        <v>0</v>
      </c>
      <c r="K30" s="3"/>
    </row>
    <row r="31" spans="2:11" x14ac:dyDescent="0.25">
      <c r="B31" s="19" t="s">
        <v>1</v>
      </c>
      <c r="C31" s="20">
        <v>27</v>
      </c>
      <c r="D31" s="21">
        <v>19.475000000000001</v>
      </c>
      <c r="E31" s="21">
        <f t="shared" si="0"/>
        <v>1.9475000000000002</v>
      </c>
      <c r="F31" s="20">
        <v>19</v>
      </c>
      <c r="G31" s="20" t="str" cm="1">
        <f t="array" ref="G31">Nuestra_Si(F31&lt;10,"Baja","Normal")</f>
        <v>Normal</v>
      </c>
      <c r="H31" s="31" cm="1">
        <f t="array" ref="H31">Nuestro_Producto(D31,F31)</f>
        <v>370.02500000000003</v>
      </c>
      <c r="I31" s="21">
        <f t="shared" si="1"/>
        <v>333.02249999999998</v>
      </c>
      <c r="K31" s="3"/>
    </row>
    <row r="32" spans="2:11" x14ac:dyDescent="0.25">
      <c r="B32" s="22" t="s">
        <v>2</v>
      </c>
      <c r="C32" s="23">
        <v>27</v>
      </c>
      <c r="D32" s="24">
        <v>20.5</v>
      </c>
      <c r="E32" s="24">
        <f t="shared" si="0"/>
        <v>2.0500000000000003</v>
      </c>
      <c r="F32" s="23">
        <v>12</v>
      </c>
      <c r="G32" s="23" t="str" cm="1">
        <f t="array" ref="G32">Nuestra_Si(F32&lt;10,"Baja","Normal")</f>
        <v>Normal</v>
      </c>
      <c r="H32" s="30" cm="1">
        <f t="array" ref="H32">Nuestro_Producto(D32,F32)</f>
        <v>246</v>
      </c>
      <c r="I32" s="24">
        <f t="shared" si="1"/>
        <v>221.39999999999998</v>
      </c>
      <c r="K32" s="3"/>
    </row>
    <row r="33" spans="2:11" x14ac:dyDescent="0.25">
      <c r="B33" s="19" t="s">
        <v>3</v>
      </c>
      <c r="C33" s="20">
        <v>27</v>
      </c>
      <c r="D33" s="21">
        <v>18.45</v>
      </c>
      <c r="E33" s="21">
        <f t="shared" si="0"/>
        <v>1.845</v>
      </c>
      <c r="F33" s="20">
        <v>5</v>
      </c>
      <c r="G33" s="20" t="str" cm="1">
        <f t="array" ref="G33">Nuestra_Si(F33&lt;10,"Baja","Normal")</f>
        <v>Baja</v>
      </c>
      <c r="H33" s="31" cm="1">
        <f t="array" ref="H33">Nuestro_Producto(D33,F33)</f>
        <v>92.25</v>
      </c>
      <c r="I33" s="21">
        <f t="shared" si="1"/>
        <v>83.025000000000006</v>
      </c>
      <c r="K33" s="3"/>
    </row>
    <row r="34" spans="2:11" x14ac:dyDescent="0.25">
      <c r="B34" s="22" t="s">
        <v>1</v>
      </c>
      <c r="C34" s="23">
        <v>26</v>
      </c>
      <c r="D34" s="24">
        <v>19.475000000000001</v>
      </c>
      <c r="E34" s="24">
        <f t="shared" si="0"/>
        <v>1.9475000000000002</v>
      </c>
      <c r="F34" s="23">
        <v>30</v>
      </c>
      <c r="G34" s="23" t="str" cm="1">
        <f t="array" ref="G34">Nuestra_Si(F34&lt;10,"Baja","Normal")</f>
        <v>Normal</v>
      </c>
      <c r="H34" s="30" cm="1">
        <f t="array" ref="H34">Nuestro_Producto(D34,F34)</f>
        <v>584.25</v>
      </c>
      <c r="I34" s="24">
        <f t="shared" si="1"/>
        <v>525.82500000000005</v>
      </c>
      <c r="K34" s="3"/>
    </row>
    <row r="35" spans="2:11" x14ac:dyDescent="0.25">
      <c r="B35" s="19" t="s">
        <v>2</v>
      </c>
      <c r="C35" s="20">
        <v>26</v>
      </c>
      <c r="D35" s="21">
        <v>20.5</v>
      </c>
      <c r="E35" s="21">
        <f t="shared" si="0"/>
        <v>2.0500000000000003</v>
      </c>
      <c r="F35" s="20">
        <v>35</v>
      </c>
      <c r="G35" s="20" t="str" cm="1">
        <f t="array" ref="G35">Nuestra_Si(F35&lt;10,"Baja","Normal")</f>
        <v>Normal</v>
      </c>
      <c r="H35" s="31" cm="1">
        <f t="array" ref="H35">Nuestro_Producto(D35,F35)</f>
        <v>717.5</v>
      </c>
      <c r="I35" s="21">
        <f t="shared" si="1"/>
        <v>645.75</v>
      </c>
      <c r="K35" s="3"/>
    </row>
    <row r="36" spans="2:11" x14ac:dyDescent="0.25">
      <c r="B36" s="22" t="s">
        <v>3</v>
      </c>
      <c r="C36" s="23">
        <v>26</v>
      </c>
      <c r="D36" s="24">
        <v>18.45</v>
      </c>
      <c r="E36" s="24">
        <f t="shared" ref="E36:E66" si="2">D36*$K$4</f>
        <v>1.845</v>
      </c>
      <c r="F36" s="23">
        <v>12</v>
      </c>
      <c r="G36" s="23" t="str" cm="1">
        <f t="array" ref="G36">Nuestra_Si(F36&lt;10,"Baja","Normal")</f>
        <v>Normal</v>
      </c>
      <c r="H36" s="30" cm="1">
        <f t="array" ref="H36">Nuestro_Producto(D36,F36)</f>
        <v>221.39999999999998</v>
      </c>
      <c r="I36" s="24">
        <f t="shared" ref="I36:I66" si="3">(D36-E36)*F36</f>
        <v>199.26</v>
      </c>
      <c r="K36" s="3"/>
    </row>
    <row r="37" spans="2:11" x14ac:dyDescent="0.25">
      <c r="B37" s="19" t="s">
        <v>1</v>
      </c>
      <c r="C37" s="20">
        <v>25</v>
      </c>
      <c r="D37" s="21">
        <v>19.475000000000001</v>
      </c>
      <c r="E37" s="21">
        <f t="shared" si="2"/>
        <v>1.9475000000000002</v>
      </c>
      <c r="F37" s="20">
        <v>20</v>
      </c>
      <c r="G37" s="20" t="str" cm="1">
        <f t="array" ref="G37">Nuestra_Si(F37&lt;10,"Baja","Normal")</f>
        <v>Normal</v>
      </c>
      <c r="H37" s="31" cm="1">
        <f t="array" ref="H37">Nuestro_Producto(D37,F37)</f>
        <v>389.5</v>
      </c>
      <c r="I37" s="21">
        <f t="shared" si="3"/>
        <v>350.55</v>
      </c>
      <c r="K37" s="3"/>
    </row>
    <row r="38" spans="2:11" x14ac:dyDescent="0.25">
      <c r="B38" s="22" t="s">
        <v>2</v>
      </c>
      <c r="C38" s="23">
        <v>25</v>
      </c>
      <c r="D38" s="24">
        <v>25.3</v>
      </c>
      <c r="E38" s="24">
        <f t="shared" si="2"/>
        <v>2.5300000000000002</v>
      </c>
      <c r="F38" s="23">
        <v>25</v>
      </c>
      <c r="G38" s="23" t="str" cm="1">
        <f t="array" ref="G38">Nuestra_Si(F38&lt;10,"Baja","Normal")</f>
        <v>Normal</v>
      </c>
      <c r="H38" s="30" cm="1">
        <f t="array" ref="H38">Nuestro_Producto(D38,F38)</f>
        <v>632.5</v>
      </c>
      <c r="I38" s="24">
        <f t="shared" si="3"/>
        <v>569.25</v>
      </c>
      <c r="K38" s="3"/>
    </row>
    <row r="39" spans="2:11" x14ac:dyDescent="0.25">
      <c r="B39" s="19" t="s">
        <v>3</v>
      </c>
      <c r="C39" s="20">
        <v>25</v>
      </c>
      <c r="D39" s="21">
        <v>18.45</v>
      </c>
      <c r="E39" s="21">
        <f t="shared" si="2"/>
        <v>1.845</v>
      </c>
      <c r="F39" s="20">
        <v>16</v>
      </c>
      <c r="G39" s="20" t="str" cm="1">
        <f t="array" ref="G39">Nuestra_Si(F39&lt;10,"Baja","Normal")</f>
        <v>Normal</v>
      </c>
      <c r="H39" s="31" cm="1">
        <f t="array" ref="H39">Nuestro_Producto(D39,F39)</f>
        <v>295.2</v>
      </c>
      <c r="I39" s="21">
        <f t="shared" si="3"/>
        <v>265.68</v>
      </c>
      <c r="K39" s="3"/>
    </row>
    <row r="40" spans="2:11" x14ac:dyDescent="0.25">
      <c r="B40" s="22" t="s">
        <v>1</v>
      </c>
      <c r="C40" s="23">
        <v>24</v>
      </c>
      <c r="D40" s="24">
        <v>18.904999999999998</v>
      </c>
      <c r="E40" s="24">
        <f t="shared" si="2"/>
        <v>1.8904999999999998</v>
      </c>
      <c r="F40" s="23">
        <v>15</v>
      </c>
      <c r="G40" s="23" t="str" cm="1">
        <f t="array" ref="G40">Nuestra_Si(F40&lt;10,"Baja","Normal")</f>
        <v>Normal</v>
      </c>
      <c r="H40" s="30" cm="1">
        <f t="array" ref="H40">Nuestro_Producto(D40,F40)</f>
        <v>283.57499999999999</v>
      </c>
      <c r="I40" s="24">
        <f t="shared" si="3"/>
        <v>255.21749999999997</v>
      </c>
      <c r="K40" s="3"/>
    </row>
    <row r="41" spans="2:11" x14ac:dyDescent="0.25">
      <c r="B41" s="19" t="s">
        <v>2</v>
      </c>
      <c r="C41" s="20">
        <v>24</v>
      </c>
      <c r="D41" s="21">
        <v>19.899999999999999</v>
      </c>
      <c r="E41" s="21">
        <f t="shared" si="2"/>
        <v>1.99</v>
      </c>
      <c r="F41" s="20">
        <v>23</v>
      </c>
      <c r="G41" s="20" t="str" cm="1">
        <f t="array" ref="G41">Nuestra_Si(F41&lt;10,"Baja","Normal")</f>
        <v>Normal</v>
      </c>
      <c r="H41" s="31" cm="1">
        <f t="array" ref="H41">Nuestro_Producto(D41,F41)</f>
        <v>457.7</v>
      </c>
      <c r="I41" s="21">
        <f t="shared" si="3"/>
        <v>411.93</v>
      </c>
      <c r="K41" s="3"/>
    </row>
    <row r="42" spans="2:11" x14ac:dyDescent="0.25">
      <c r="B42" s="22" t="s">
        <v>3</v>
      </c>
      <c r="C42" s="23">
        <v>24</v>
      </c>
      <c r="D42" s="24">
        <v>17.91</v>
      </c>
      <c r="E42" s="24">
        <f t="shared" si="2"/>
        <v>1.7910000000000001</v>
      </c>
      <c r="F42" s="23">
        <v>32</v>
      </c>
      <c r="G42" s="23" t="str" cm="1">
        <f t="array" ref="G42">Nuestra_Si(F42&lt;10,"Baja","Normal")</f>
        <v>Normal</v>
      </c>
      <c r="H42" s="30" cm="1">
        <f t="array" ref="H42">Nuestro_Producto(D42,F42)</f>
        <v>573.12</v>
      </c>
      <c r="I42" s="24">
        <f t="shared" si="3"/>
        <v>515.80799999999999</v>
      </c>
      <c r="K42" s="3"/>
    </row>
    <row r="43" spans="2:11" x14ac:dyDescent="0.25">
      <c r="B43" s="19" t="s">
        <v>1</v>
      </c>
      <c r="C43" s="20">
        <v>23</v>
      </c>
      <c r="D43" s="21">
        <v>18.904999999999998</v>
      </c>
      <c r="E43" s="21">
        <f t="shared" si="2"/>
        <v>1.8904999999999998</v>
      </c>
      <c r="F43" s="20">
        <v>0</v>
      </c>
      <c r="G43" s="20" t="str" cm="1">
        <f t="array" ref="G43">Nuestra_Si(F43&lt;10,"Baja","Normal")</f>
        <v>Baja</v>
      </c>
      <c r="H43" s="31" cm="1">
        <f t="array" ref="H43">Nuestro_Producto(D43,F43)</f>
        <v>0</v>
      </c>
      <c r="I43" s="21">
        <f t="shared" si="3"/>
        <v>0</v>
      </c>
      <c r="K43" s="3"/>
    </row>
    <row r="44" spans="2:11" x14ac:dyDescent="0.25">
      <c r="B44" s="22" t="s">
        <v>2</v>
      </c>
      <c r="C44" s="23">
        <v>23</v>
      </c>
      <c r="D44" s="24">
        <v>19.899999999999999</v>
      </c>
      <c r="E44" s="24">
        <f t="shared" si="2"/>
        <v>1.99</v>
      </c>
      <c r="F44" s="23">
        <v>15</v>
      </c>
      <c r="G44" s="23" t="str" cm="1">
        <f t="array" ref="G44">Nuestra_Si(F44&lt;10,"Baja","Normal")</f>
        <v>Normal</v>
      </c>
      <c r="H44" s="30" cm="1">
        <f t="array" ref="H44">Nuestro_Producto(D44,F44)</f>
        <v>298.5</v>
      </c>
      <c r="I44" s="24">
        <f t="shared" si="3"/>
        <v>268.64999999999998</v>
      </c>
      <c r="K44" s="3"/>
    </row>
    <row r="45" spans="2:11" x14ac:dyDescent="0.25">
      <c r="B45" s="19" t="s">
        <v>3</v>
      </c>
      <c r="C45" s="20">
        <v>23</v>
      </c>
      <c r="D45" s="21">
        <v>17.91</v>
      </c>
      <c r="E45" s="21">
        <f t="shared" si="2"/>
        <v>1.7910000000000001</v>
      </c>
      <c r="F45" s="20">
        <v>35</v>
      </c>
      <c r="G45" s="20" t="str" cm="1">
        <f t="array" ref="G45">Nuestra_Si(F45&lt;10,"Baja","Normal")</f>
        <v>Normal</v>
      </c>
      <c r="H45" s="31" cm="1">
        <f t="array" ref="H45">Nuestro_Producto(D45,F45)</f>
        <v>626.85</v>
      </c>
      <c r="I45" s="21">
        <f t="shared" si="3"/>
        <v>564.16499999999996</v>
      </c>
      <c r="K45" s="3"/>
    </row>
    <row r="46" spans="2:11" x14ac:dyDescent="0.25">
      <c r="B46" s="22" t="s">
        <v>1</v>
      </c>
      <c r="C46" s="23">
        <v>22</v>
      </c>
      <c r="D46" s="24">
        <v>18.904999999999998</v>
      </c>
      <c r="E46" s="24">
        <f t="shared" si="2"/>
        <v>1.8904999999999998</v>
      </c>
      <c r="F46" s="23">
        <v>2</v>
      </c>
      <c r="G46" s="23" t="str" cm="1">
        <f t="array" ref="G46">Nuestra_Si(F46&lt;10,"Baja","Normal")</f>
        <v>Baja</v>
      </c>
      <c r="H46" s="30" cm="1">
        <f t="array" ref="H46">Nuestro_Producto(D46,F46)</f>
        <v>37.809999999999995</v>
      </c>
      <c r="I46" s="24">
        <f t="shared" si="3"/>
        <v>34.028999999999996</v>
      </c>
    </row>
    <row r="47" spans="2:11" x14ac:dyDescent="0.25">
      <c r="B47" s="19" t="s">
        <v>2</v>
      </c>
      <c r="C47" s="20">
        <v>22</v>
      </c>
      <c r="D47" s="21">
        <v>19.899999999999999</v>
      </c>
      <c r="E47" s="21">
        <f t="shared" si="2"/>
        <v>1.99</v>
      </c>
      <c r="F47" s="20">
        <v>12</v>
      </c>
      <c r="G47" s="20" t="str" cm="1">
        <f t="array" ref="G47">Nuestra_Si(F47&lt;10,"Baja","Normal")</f>
        <v>Normal</v>
      </c>
      <c r="H47" s="31" cm="1">
        <f t="array" ref="H47">Nuestro_Producto(D47,F47)</f>
        <v>238.79999999999998</v>
      </c>
      <c r="I47" s="21">
        <f t="shared" si="3"/>
        <v>214.92000000000002</v>
      </c>
    </row>
    <row r="48" spans="2:11" x14ac:dyDescent="0.25">
      <c r="B48" s="22" t="s">
        <v>3</v>
      </c>
      <c r="C48" s="23">
        <v>22</v>
      </c>
      <c r="D48" s="24">
        <v>17.91</v>
      </c>
      <c r="E48" s="24">
        <f t="shared" si="2"/>
        <v>1.7910000000000001</v>
      </c>
      <c r="F48" s="23">
        <v>29</v>
      </c>
      <c r="G48" s="23" t="str" cm="1">
        <f t="array" ref="G48">Nuestra_Si(F48&lt;10,"Baja","Normal")</f>
        <v>Normal</v>
      </c>
      <c r="H48" s="30" cm="1">
        <f t="array" ref="H48">Nuestro_Producto(D48,F48)</f>
        <v>519.39</v>
      </c>
      <c r="I48" s="24">
        <f t="shared" si="3"/>
        <v>467.45100000000002</v>
      </c>
    </row>
    <row r="49" spans="2:9" x14ac:dyDescent="0.25">
      <c r="B49" s="19" t="s">
        <v>1</v>
      </c>
      <c r="C49" s="20">
        <v>21</v>
      </c>
      <c r="D49" s="21">
        <v>18.904999999999998</v>
      </c>
      <c r="E49" s="21">
        <f t="shared" si="2"/>
        <v>1.8904999999999998</v>
      </c>
      <c r="F49" s="20">
        <v>10</v>
      </c>
      <c r="G49" s="20" t="str" cm="1">
        <f t="array" ref="G49">Nuestra_Si(F49&lt;10,"Baja","Normal")</f>
        <v>Normal</v>
      </c>
      <c r="H49" s="31" cm="1">
        <f t="array" ref="H49">Nuestro_Producto(D49,F49)</f>
        <v>189.04999999999998</v>
      </c>
      <c r="I49" s="21">
        <f t="shared" si="3"/>
        <v>170.14499999999998</v>
      </c>
    </row>
    <row r="50" spans="2:9" x14ac:dyDescent="0.25">
      <c r="B50" s="22" t="s">
        <v>2</v>
      </c>
      <c r="C50" s="23">
        <v>21</v>
      </c>
      <c r="D50" s="24">
        <v>19.899999999999999</v>
      </c>
      <c r="E50" s="24">
        <f t="shared" si="2"/>
        <v>1.99</v>
      </c>
      <c r="F50" s="23">
        <v>10</v>
      </c>
      <c r="G50" s="23" t="str" cm="1">
        <f t="array" ref="G50">Nuestra_Si(F50&lt;10,"Baja","Normal")</f>
        <v>Normal</v>
      </c>
      <c r="H50" s="30" cm="1">
        <f t="array" ref="H50">Nuestro_Producto(D50,F50)</f>
        <v>199</v>
      </c>
      <c r="I50" s="24">
        <f t="shared" si="3"/>
        <v>179.1</v>
      </c>
    </row>
    <row r="51" spans="2:9" x14ac:dyDescent="0.25">
      <c r="B51" s="19" t="s">
        <v>3</v>
      </c>
      <c r="C51" s="20">
        <v>21</v>
      </c>
      <c r="D51" s="21">
        <v>17.91</v>
      </c>
      <c r="E51" s="21">
        <f t="shared" si="2"/>
        <v>1.7910000000000001</v>
      </c>
      <c r="F51" s="20">
        <v>27</v>
      </c>
      <c r="G51" s="20" t="str" cm="1">
        <f t="array" ref="G51">Nuestra_Si(F51&lt;10,"Baja","Normal")</f>
        <v>Normal</v>
      </c>
      <c r="H51" s="31" cm="1">
        <f t="array" ref="H51">Nuestro_Producto(D51,F51)</f>
        <v>483.57</v>
      </c>
      <c r="I51" s="21">
        <f t="shared" si="3"/>
        <v>435.21299999999997</v>
      </c>
    </row>
    <row r="52" spans="2:9" x14ac:dyDescent="0.25">
      <c r="B52" s="22" t="s">
        <v>1</v>
      </c>
      <c r="C52" s="23">
        <v>20</v>
      </c>
      <c r="D52" s="24">
        <v>18.904999999999998</v>
      </c>
      <c r="E52" s="24">
        <f t="shared" si="2"/>
        <v>1.8904999999999998</v>
      </c>
      <c r="F52" s="23">
        <v>15</v>
      </c>
      <c r="G52" s="23" t="str" cm="1">
        <f t="array" ref="G52">Nuestra_Si(F52&lt;10,"Baja","Normal")</f>
        <v>Normal</v>
      </c>
      <c r="H52" s="30" cm="1">
        <f t="array" ref="H52">Nuestro_Producto(D52,F52)</f>
        <v>283.57499999999999</v>
      </c>
      <c r="I52" s="24">
        <f t="shared" si="3"/>
        <v>255.21749999999997</v>
      </c>
    </row>
    <row r="53" spans="2:9" x14ac:dyDescent="0.25">
      <c r="B53" s="19" t="s">
        <v>2</v>
      </c>
      <c r="C53" s="20">
        <v>20</v>
      </c>
      <c r="D53" s="21">
        <v>19.899999999999999</v>
      </c>
      <c r="E53" s="21">
        <f t="shared" si="2"/>
        <v>1.99</v>
      </c>
      <c r="F53" s="20">
        <v>32</v>
      </c>
      <c r="G53" s="20" t="str" cm="1">
        <f t="array" ref="G53">Nuestra_Si(F53&lt;10,"Baja","Normal")</f>
        <v>Normal</v>
      </c>
      <c r="H53" s="31" cm="1">
        <f t="array" ref="H53">Nuestro_Producto(D53,F53)</f>
        <v>636.79999999999995</v>
      </c>
      <c r="I53" s="21">
        <f t="shared" si="3"/>
        <v>573.12</v>
      </c>
    </row>
    <row r="54" spans="2:9" x14ac:dyDescent="0.25">
      <c r="B54" s="22" t="s">
        <v>3</v>
      </c>
      <c r="C54" s="23">
        <v>20</v>
      </c>
      <c r="D54" s="24">
        <v>17.91</v>
      </c>
      <c r="E54" s="24">
        <f t="shared" si="2"/>
        <v>1.7910000000000001</v>
      </c>
      <c r="F54" s="23">
        <v>5</v>
      </c>
      <c r="G54" s="23" t="str" cm="1">
        <f t="array" ref="G54">Nuestra_Si(F54&lt;10,"Baja","Normal")</f>
        <v>Baja</v>
      </c>
      <c r="H54" s="30" cm="1">
        <f t="array" ref="H54">Nuestro_Producto(D54,F54)</f>
        <v>89.55</v>
      </c>
      <c r="I54" s="24">
        <f t="shared" si="3"/>
        <v>80.594999999999999</v>
      </c>
    </row>
    <row r="55" spans="2:9" x14ac:dyDescent="0.25">
      <c r="B55" s="19" t="s">
        <v>1</v>
      </c>
      <c r="C55" s="20">
        <v>19</v>
      </c>
      <c r="D55" s="21">
        <v>17.29</v>
      </c>
      <c r="E55" s="21">
        <f t="shared" si="2"/>
        <v>1.7290000000000001</v>
      </c>
      <c r="F55" s="20">
        <v>20</v>
      </c>
      <c r="G55" s="20" t="str" cm="1">
        <f t="array" ref="G55">Nuestra_Si(F55&lt;10,"Baja","Normal")</f>
        <v>Normal</v>
      </c>
      <c r="H55" s="31" cm="1">
        <f t="array" ref="H55">Nuestro_Producto(D55,F55)</f>
        <v>345.79999999999995</v>
      </c>
      <c r="I55" s="21">
        <f t="shared" si="3"/>
        <v>311.22000000000003</v>
      </c>
    </row>
    <row r="56" spans="2:9" x14ac:dyDescent="0.25">
      <c r="B56" s="22" t="s">
        <v>2</v>
      </c>
      <c r="C56" s="23">
        <v>19</v>
      </c>
      <c r="D56" s="24">
        <v>18.2</v>
      </c>
      <c r="E56" s="24">
        <f t="shared" si="2"/>
        <v>1.82</v>
      </c>
      <c r="F56" s="23">
        <v>25</v>
      </c>
      <c r="G56" s="23" t="str" cm="1">
        <f t="array" ref="G56">Nuestra_Si(F56&lt;10,"Baja","Normal")</f>
        <v>Normal</v>
      </c>
      <c r="H56" s="30" cm="1">
        <f t="array" ref="H56">Nuestro_Producto(D56,F56)</f>
        <v>455</v>
      </c>
      <c r="I56" s="24">
        <f t="shared" si="3"/>
        <v>409.5</v>
      </c>
    </row>
    <row r="57" spans="2:9" x14ac:dyDescent="0.25">
      <c r="B57" s="19" t="s">
        <v>3</v>
      </c>
      <c r="C57" s="20">
        <v>19</v>
      </c>
      <c r="D57" s="21">
        <v>16.38</v>
      </c>
      <c r="E57" s="21">
        <f t="shared" si="2"/>
        <v>1.6379999999999999</v>
      </c>
      <c r="F57" s="20">
        <v>3</v>
      </c>
      <c r="G57" s="20" t="str" cm="1">
        <f t="array" ref="G57">Nuestra_Si(F57&lt;10,"Baja","Normal")</f>
        <v>Baja</v>
      </c>
      <c r="H57" s="31" cm="1">
        <f t="array" ref="H57">Nuestro_Producto(D57,F57)</f>
        <v>49.14</v>
      </c>
      <c r="I57" s="21">
        <f t="shared" si="3"/>
        <v>44.225999999999999</v>
      </c>
    </row>
    <row r="58" spans="2:9" x14ac:dyDescent="0.25">
      <c r="B58" s="22" t="s">
        <v>1</v>
      </c>
      <c r="C58" s="23">
        <v>18</v>
      </c>
      <c r="D58" s="24">
        <v>17.29</v>
      </c>
      <c r="E58" s="24">
        <f t="shared" si="2"/>
        <v>1.7290000000000001</v>
      </c>
      <c r="F58" s="23">
        <v>3</v>
      </c>
      <c r="G58" s="23" t="str" cm="1">
        <f t="array" ref="G58">Nuestra_Si(F58&lt;10,"Baja","Normal")</f>
        <v>Baja</v>
      </c>
      <c r="H58" s="30" cm="1">
        <f t="array" ref="H58">Nuestro_Producto(D58,F58)</f>
        <v>51.87</v>
      </c>
      <c r="I58" s="24">
        <f t="shared" si="3"/>
        <v>46.683</v>
      </c>
    </row>
    <row r="59" spans="2:9" x14ac:dyDescent="0.25">
      <c r="B59" s="19" t="s">
        <v>2</v>
      </c>
      <c r="C59" s="20">
        <v>18</v>
      </c>
      <c r="D59" s="21">
        <v>18.2</v>
      </c>
      <c r="E59" s="21">
        <f t="shared" si="2"/>
        <v>1.82</v>
      </c>
      <c r="F59" s="20">
        <v>4</v>
      </c>
      <c r="G59" s="20" t="str" cm="1">
        <f t="array" ref="G59">Nuestra_Si(F59&lt;10,"Baja","Normal")</f>
        <v>Baja</v>
      </c>
      <c r="H59" s="31" cm="1">
        <f t="array" ref="H59">Nuestro_Producto(D59,F59)</f>
        <v>72.8</v>
      </c>
      <c r="I59" s="21">
        <f t="shared" si="3"/>
        <v>65.52</v>
      </c>
    </row>
    <row r="60" spans="2:9" x14ac:dyDescent="0.25">
      <c r="B60" s="22" t="s">
        <v>3</v>
      </c>
      <c r="C60" s="23">
        <v>18</v>
      </c>
      <c r="D60" s="24">
        <v>16.38</v>
      </c>
      <c r="E60" s="24">
        <f t="shared" si="2"/>
        <v>1.6379999999999999</v>
      </c>
      <c r="F60" s="23">
        <v>12</v>
      </c>
      <c r="G60" s="23" t="str" cm="1">
        <f t="array" ref="G60">Nuestra_Si(F60&lt;10,"Baja","Normal")</f>
        <v>Normal</v>
      </c>
      <c r="H60" s="30" cm="1">
        <f t="array" ref="H60">Nuestro_Producto(D60,F60)</f>
        <v>196.56</v>
      </c>
      <c r="I60" s="24">
        <f t="shared" si="3"/>
        <v>176.904</v>
      </c>
    </row>
    <row r="61" spans="2:9" x14ac:dyDescent="0.25">
      <c r="B61" s="19" t="s">
        <v>1</v>
      </c>
      <c r="C61" s="20">
        <v>17</v>
      </c>
      <c r="D61" s="21">
        <v>17.29</v>
      </c>
      <c r="E61" s="21">
        <f t="shared" si="2"/>
        <v>1.7290000000000001</v>
      </c>
      <c r="F61" s="20">
        <v>22</v>
      </c>
      <c r="G61" s="20" t="str" cm="1">
        <f t="array" ref="G61">Nuestra_Si(F61&lt;10,"Baja","Normal")</f>
        <v>Normal</v>
      </c>
      <c r="H61" s="31" cm="1">
        <f t="array" ref="H61">Nuestro_Producto(D61,F61)</f>
        <v>380.38</v>
      </c>
      <c r="I61" s="21">
        <f t="shared" si="3"/>
        <v>342.34199999999998</v>
      </c>
    </row>
    <row r="62" spans="2:9" x14ac:dyDescent="0.25">
      <c r="B62" s="22" t="s">
        <v>2</v>
      </c>
      <c r="C62" s="23">
        <v>17</v>
      </c>
      <c r="D62" s="24">
        <v>18.2</v>
      </c>
      <c r="E62" s="24">
        <f t="shared" si="2"/>
        <v>1.82</v>
      </c>
      <c r="F62" s="23">
        <v>1</v>
      </c>
      <c r="G62" s="23" t="str" cm="1">
        <f t="array" ref="G62">Nuestra_Si(F62&lt;10,"Baja","Normal")</f>
        <v>Baja</v>
      </c>
      <c r="H62" s="30" cm="1">
        <f t="array" ref="H62">Nuestro_Producto(D62,F62)</f>
        <v>18.2</v>
      </c>
      <c r="I62" s="24">
        <f t="shared" si="3"/>
        <v>16.38</v>
      </c>
    </row>
    <row r="63" spans="2:9" x14ac:dyDescent="0.25">
      <c r="B63" s="19" t="s">
        <v>3</v>
      </c>
      <c r="C63" s="20">
        <v>17</v>
      </c>
      <c r="D63" s="21">
        <v>16.38</v>
      </c>
      <c r="E63" s="21">
        <f t="shared" si="2"/>
        <v>1.6379999999999999</v>
      </c>
      <c r="F63" s="20">
        <v>25</v>
      </c>
      <c r="G63" s="20" t="str" cm="1">
        <f t="array" ref="G63">Nuestra_Si(F63&lt;10,"Baja","Normal")</f>
        <v>Normal</v>
      </c>
      <c r="H63" s="31" cm="1">
        <f t="array" ref="H63">Nuestro_Producto(D63,F63)</f>
        <v>409.5</v>
      </c>
      <c r="I63" s="21">
        <f t="shared" si="3"/>
        <v>368.54999999999995</v>
      </c>
    </row>
    <row r="64" spans="2:9" x14ac:dyDescent="0.25">
      <c r="B64" s="22" t="s">
        <v>1</v>
      </c>
      <c r="C64" s="23">
        <v>16</v>
      </c>
      <c r="D64" s="24">
        <v>17.29</v>
      </c>
      <c r="E64" s="24">
        <f t="shared" si="2"/>
        <v>1.7290000000000001</v>
      </c>
      <c r="F64" s="23">
        <v>35</v>
      </c>
      <c r="G64" s="23" t="str" cm="1">
        <f t="array" ref="G64">Nuestra_Si(F64&lt;10,"Baja","Normal")</f>
        <v>Normal</v>
      </c>
      <c r="H64" s="30" cm="1">
        <f t="array" ref="H64">Nuestro_Producto(D64,F64)</f>
        <v>605.15</v>
      </c>
      <c r="I64" s="24">
        <f t="shared" si="3"/>
        <v>544.63499999999999</v>
      </c>
    </row>
    <row r="65" spans="2:9" x14ac:dyDescent="0.25">
      <c r="B65" s="19" t="s">
        <v>2</v>
      </c>
      <c r="C65" s="20">
        <v>16</v>
      </c>
      <c r="D65" s="21">
        <v>18.2</v>
      </c>
      <c r="E65" s="21">
        <f t="shared" si="2"/>
        <v>1.82</v>
      </c>
      <c r="F65" s="20">
        <v>2</v>
      </c>
      <c r="G65" s="20" t="str" cm="1">
        <f t="array" ref="G65">Nuestra_Si(F65&lt;10,"Baja","Normal")</f>
        <v>Baja</v>
      </c>
      <c r="H65" s="31" cm="1">
        <f t="array" ref="H65">Nuestro_Producto(D65,F65)</f>
        <v>36.4</v>
      </c>
      <c r="I65" s="21">
        <f t="shared" si="3"/>
        <v>32.76</v>
      </c>
    </row>
    <row r="66" spans="2:9" ht="15.75" thickBot="1" x14ac:dyDescent="0.3">
      <c r="B66" s="22" t="s">
        <v>3</v>
      </c>
      <c r="C66" s="23">
        <v>16</v>
      </c>
      <c r="D66" s="24">
        <v>16.38</v>
      </c>
      <c r="E66" s="24">
        <f t="shared" si="2"/>
        <v>1.6379999999999999</v>
      </c>
      <c r="F66" s="23">
        <v>37</v>
      </c>
      <c r="G66" s="23" t="str" cm="1">
        <f t="array" ref="G66">Nuestra_Si(F66&lt;10,"Baja","Normal")</f>
        <v>Normal</v>
      </c>
      <c r="H66" s="30" cm="1">
        <f t="array" ref="H66">Nuestro_Producto(D66,F66)</f>
        <v>606.05999999999995</v>
      </c>
      <c r="I66" s="24">
        <f t="shared" si="3"/>
        <v>545.45399999999995</v>
      </c>
    </row>
    <row r="67" spans="2:9" ht="16.5" thickTop="1" thickBot="1" x14ac:dyDescent="0.3">
      <c r="B67" s="25" t="s">
        <v>9</v>
      </c>
      <c r="C67" s="26"/>
      <c r="D67" s="27">
        <f>SUBTOTAL(101,'Productos de Niños (Con Tabla)'!$D$4:$D$66)</f>
        <v>19.623571428571434</v>
      </c>
      <c r="E67" s="27">
        <f>SUBTOTAL(101,'Productos de Niños (Con Tabla)'!$E$4:$E$66)</f>
        <v>1.962357142857142</v>
      </c>
      <c r="F67" s="28">
        <f>SUBTOTAL(101,'Productos de Niños (Con Tabla)'!$F$4:$F$66)</f>
        <v>16.301587301587301</v>
      </c>
      <c r="G67" s="28"/>
      <c r="H67" s="28"/>
      <c r="I67" s="27">
        <f>SUBTOTAL(109,'Productos de Niños (Con Tabla)'!$I$4:$I$66)</f>
        <v>18145.098000000002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C8" sqref="C8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10</v>
      </c>
      <c r="B1" s="9" t="s">
        <v>11</v>
      </c>
      <c r="C1" s="34" t="s">
        <v>5</v>
      </c>
    </row>
    <row r="2" spans="1:3" x14ac:dyDescent="0.25">
      <c r="A2" s="12" t="s">
        <v>1</v>
      </c>
      <c r="B2" s="13" cm="1">
        <f t="array" ref="B2">fnNuestra_MaxSiConjunto('Productos de Niños (Con Tabla)'!$D$4:$D$66,'Productos de Niños (Con Tabla)'!$B$4:$B$66,A2,'Productos de Niños (Con Tabla)'!$C$4:$C$66,C2)</f>
        <v>17.29</v>
      </c>
      <c r="C2" s="35">
        <v>16</v>
      </c>
    </row>
    <row r="3" spans="1:3" x14ac:dyDescent="0.25">
      <c r="A3" s="6" t="s">
        <v>2</v>
      </c>
      <c r="B3" s="10" cm="1">
        <f t="array" ref="B3">fnNuestra_MaxSiConjunto('Productos de Niños (Con Tabla)'!$D$4:$D$66,'Productos de Niños (Con Tabla)'!$B$4:$B$66,A3,'Productos de Niños (Con Tabla)'!$C$4:$C$66,C3)</f>
        <v>18.2</v>
      </c>
      <c r="C3" s="36">
        <v>16</v>
      </c>
    </row>
    <row r="4" spans="1:3" ht="15.75" thickBot="1" x14ac:dyDescent="0.3">
      <c r="A4" s="7" t="s">
        <v>3</v>
      </c>
      <c r="B4" s="11" cm="1">
        <f t="array" ref="B4">fnNuestra_MaxSiConjunto('Productos de Niños (Con Tabla)'!$D$4:$D$66,'Productos de Niños (Con Tabla)'!$B$4:$B$66,A4,'Productos de Niños (Con Tabla)'!$C$4:$C$66,C4)</f>
        <v>16.38</v>
      </c>
      <c r="C4" s="37">
        <v>16</v>
      </c>
    </row>
    <row r="5" spans="1:3" ht="15.75" thickBot="1" x14ac:dyDescent="0.3"/>
    <row r="6" spans="1:3" ht="15.75" thickBot="1" x14ac:dyDescent="0.3">
      <c r="A6" s="32" t="s">
        <v>15</v>
      </c>
      <c r="B6" s="33" cm="1">
        <f t="array" ref="B6">fnNuestra_Max('Productos de Niños (Con Tabla)'!D4:D66)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2022-03-06T18:51:50Z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